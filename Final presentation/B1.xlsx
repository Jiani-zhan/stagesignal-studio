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defaultThemeVersion="202300"/>
  <mc:AlternateContent xmlns:mc="http://schemas.openxmlformats.org/markup-compatibility/2006">
    <mc:Choice Requires="x15">
      <x15ac:absPath xmlns:x15ac="http://schemas.microsoft.com/office/spreadsheetml/2010/11/ac" url="/Users/sijiali/Desktop/"/>
    </mc:Choice>
  </mc:AlternateContent>
  <xr:revisionPtr revIDLastSave="0" documentId="13_ncr:1_{DF850FC1-27A6-1D4B-AEF0-72A094EBA2D6}" xr6:coauthVersionLast="47" xr6:coauthVersionMax="47" xr10:uidLastSave="{00000000-0000-0000-0000-000000000000}"/>
  <bookViews>
    <workbookView xWindow="0" yWindow="720" windowWidth="29400" windowHeight="18400" xr2:uid="{CDC909D4-175F-774E-86FD-ADDB5B336C4D}"/>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1" l="1"/>
  <c r="E12" i="1"/>
  <c r="E13" i="1"/>
  <c r="E14" i="1"/>
  <c r="E10" i="1"/>
  <c r="E11" i="1"/>
  <c r="E9" i="1"/>
  <c r="H5" i="1"/>
  <c r="H4" i="1"/>
  <c r="F5" i="1"/>
  <c r="F4" i="1"/>
  <c r="F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tc={450A4BDD-9118-4F47-B511-69338686E27C}</author>
    <author>tc={F151BB66-DF97-9C43-BA79-647349DB1BF0}</author>
    <author>tc={E61ABAC5-7AB2-3F4D-8094-C206E1CBF092}</author>
    <author>tc={97EE97EB-E667-8F44-B93F-436321ABF2CE}</author>
    <author>tc={87D369F5-7EF8-914D-8759-7BD011B1C87E}</author>
    <author>tc={F8400323-9941-2449-9CBA-29C1BCB1965B}</author>
    <author>tc={8B0C2EEB-19AF-834C-8AE3-95DDDA1DA58E}</author>
    <author>tc={48C3E98F-D699-C949-AD1F-571646DA65CF}</author>
    <author>tc={8A0A16CC-45E8-EB46-90F3-27169B30F791}</author>
    <author>tc={DE5C6A82-1175-B841-BE98-8BB58596A5D2}</author>
  </authors>
  <commentList>
    <comment ref="H2" authorId="0" shapeId="0" xr:uid="{450A4BDD-9118-4F47-B511-69338686E27C}">
      <text>
        <t>[Threaded comment]
Your version of Excel allows you to read this threaded comment; however, any edits to it will get removed if the file is opened in a newer version of Excel. Learn more: https://go.microsoft.com/fwlink/?linkid=870924
Comment:
    For annual grosses, we assume each show operates 50–52 weeks per year; here we use 50 weeks as a conservative estimate: 1,039,500 × 50 ≈ $52M (rounded in the table to “~$54M” as the near–full–capacity upper bound).</t>
      </text>
    </comment>
    <comment ref="B3" authorId="1" shapeId="0" xr:uid="{F151BB66-DF97-9C43-BA79-647349DB1BF0}">
      <text>
        <t>[Threaded comment]
Your version of Excel allows you to read this threaded comment; however, any edits to it will get removed if the file is opened in a newer version of Excel. Learn more: https://go.microsoft.com/fwlink/?linkid=870924
Comment:
    Audience discussions mention “over 400 people per show” and “near full capacity during peak season,” suggesting the official design capacity is somewhere between 300 and 400 people.
https://www.reddit.com/r/sleepnomore/comments/ywqoyo/crowd_size/</t>
      </text>
    </comment>
    <comment ref="C3" authorId="2" shapeId="0" xr:uid="{E61ABAC5-7AB2-3F4D-8094-C206E1CBF092}">
      <text>
        <t>[Threaded comment]
Your version of Excel allows you to read this threaded comment; however, any edits to it will get removed if the file is opened in a newer version of Excel. Learn more: https://go.microsoft.com/fwlink/?linkid=870924
Comment:
    Media reports and ticketing information indicate that Sleep No More typically runs three entry waves each evening (around 7pm, 8pm, and 9pm), with each wave lasting about 2–3 hours, dark on Mondays and performing Tuesday through Sunday.
Therefore, we use 3 shows per night × 6 nights per week as the standard operating schedule in our model.
https://thecreativeadventurer.com/sleep-no-more-everything-you-need-to-know-about-visting-the-mckittrick-hotel/</t>
      </text>
    </comment>
    <comment ref="E3" authorId="3" shapeId="0" xr:uid="{97EE97EB-E667-8F44-B93F-436321ABF2CE}">
      <text>
        <t>[Threaded comment]
Your version of Excel allows you to read this threaded comment; however, any edits to it will get removed if the file is opened in a newer version of Excel. Learn more: https://go.microsoft.com/fwlink/?linkid=870924
Comment:
    Ticketing platforms and media reports note that regular performances are typically priced around $120–150, while weekend and peak-night tickets can exceed $200.
We therefore use the midpoint of the $120–210 range—about $165—as the average ticket price, which reflects a mix of weekday and weekend shows while avoiding overestimation.
https://www.todaytix.com/nyc/shows/2138-sleep-no-more</t>
      </text>
    </comment>
    <comment ref="B4" authorId="4" shapeId="0" xr:uid="{87D369F5-7EF8-914D-8759-7BD011B1C87E}">
      <text>
        <t>[Threaded comment]
Your version of Excel allows you to read this threaded comment; however, any edits to it will get removed if the file is opened in a newer version of Excel. Learn more: https://go.microsoft.com/fwlink/?linkid=870924
Comment:
    Life and Trust does not publish official capacity figures. Media coverage emphasizes the show’s scale instead: a 100,000‑square‑foot, six‑story former bank, 24–30 performers, 250 scenes and two full loops per night. Comparable NYC immersive shows of similar spatial scale (e.g., Sleep No More) typically host a few hundred guests per evening divided across multiple floors. For our revenue model, we therefore assume an audience range of roughly 120–200 guests per performance, and use a midpoint value in calculations while clearly marking all figures as estimates.​
https://thetheatretimes.com/a-faustian-bargain-itself-emursives-life-and-trust/</t>
      </text>
    </comment>
    <comment ref="C4" authorId="5" shapeId="0" xr:uid="{F8400323-9941-2449-9CBA-29C1BCB1965B}">
      <text>
        <t>[Threaded comment]
Your version of Excel allows you to read this threaded comment; however, any edits to it will get removed if the file is opened in a newer version of Excel. Learn more: https://go.microsoft.com/fwlink/?linkid=870924
Comment:
    Media coverage notes that the experience runs for about three hours, with two full loops each evening and 6–7 operating nights per week, while the ticketing page shows a fixed time slot starting at 6 p.m. every day.
https://immersiveexperiencenyc.com/life-and-trust/</t>
      </text>
    </comment>
    <comment ref="E4" authorId="6" shapeId="0" xr:uid="{8B0C2EEB-19AF-834C-8AE3-95DDDA1DA58E}">
      <text>
        <t>[Threaded comment]
Your version of Excel allows you to read this threaded comment; however, any edits to it will get removed if the file is opened in a newer version of Excel. Learn more: https://go.microsoft.com/fwlink/?linkid=870924
Comment:
    Weekend tickets are described as “slightly above $200,” while weekday tickets are “slightly below $200,” including fees.
https://www.nytimes.com/2024/07/15/theater/life-and-trust-immersive-theater.html</t>
      </text>
    </comment>
    <comment ref="B5" authorId="7" shapeId="0" xr:uid="{48C3E98F-D699-C949-AD1F-571646DA65CF}">
      <text>
        <t>[Threaded comment]
Your version of Excel allows you to read this threaded comment; however, any edits to it will get removed if the file is opened in a newer version of Excel. Learn more: https://go.microsoft.com/fwlink/?linkid=870924
Comment:
    https://jessicanturner.com/2025/09/all-about-masquerade-nyc-the-immersive-phantom-of-the-opera-show.html</t>
      </text>
    </comment>
    <comment ref="C5" authorId="8" shapeId="0" xr:uid="{8A0A16CC-45E8-EB46-90F3-27169B30F791}">
      <text>
        <t xml:space="preserve">[Threaded comment]
Your version of Excel allows you to read this threaded comment; however, any edits to it will get removed if the file is opened in a newer version of Excel. Learn more: https://go.microsoft.com/fwlink/?linkid=870924
Comment:
    From 7:00 to 8:30 p.m., a new group enters every 15 minutes, creating a 2‑hour cycle, with additional afternoon time slots on weekends.
https://newyorktheater.me/2025/10/14/masquerade-review/ </t>
      </text>
    </comment>
    <comment ref="E5" authorId="9" shapeId="0" xr:uid="{DE5C6A82-1175-B841-BE98-8BB58596A5D2}">
      <text>
        <t>[Threaded comment]
Your version of Excel allows you to read this threaded comment; however, any edits to it will get removed if the file is opened in a newer version of Excel. Learn more: https://go.microsoft.com/fwlink/?linkid=870924
Comment:
    Tickets range from $221 to $251 depending on the time slot, which places it in the very high end of immersive ticket pricing.
https://jessicanturner.com/2025/09/all-about-masquerade-nyc-the-immersive-phantom-of-the-opera-show.html</t>
      </text>
    </comment>
  </commentList>
</comments>
</file>

<file path=xl/sharedStrings.xml><?xml version="1.0" encoding="utf-8"?>
<sst xmlns="http://schemas.openxmlformats.org/spreadsheetml/2006/main" count="24" uniqueCount="15">
  <si>
    <t>Show</t>
  </si>
  <si>
    <t xml:space="preserve">Capacity/Session	</t>
  </si>
  <si>
    <t xml:space="preserve">Sessions/Night	</t>
  </si>
  <si>
    <t xml:space="preserve">Nights/Week	</t>
  </si>
  <si>
    <t>Avg Ticket</t>
  </si>
  <si>
    <t>Weekly Attendance</t>
  </si>
  <si>
    <t>Weekly Gross (est.)</t>
  </si>
  <si>
    <t>Annual Gross (est., 50 wks)</t>
  </si>
  <si>
    <t>Sleep No More</t>
  </si>
  <si>
    <t>Life and Trust</t>
  </si>
  <si>
    <t>Masquerade</t>
  </si>
  <si>
    <t>Occupancy</t>
  </si>
  <si>
    <t xml:space="preserve">Sleep No More	</t>
  </si>
  <si>
    <t>Benchmark Revenue Model (Near-Full Occupancy)</t>
  </si>
  <si>
    <t>Revenue Sensitivity by Occupancy Rate (80–90%)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</si>
</sst>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3" x14ac:knownFonts="1">
    <font>
      <sz val="12"/>
      <color theme="1"/>
      <name val="Aptos Narrow"/>
      <family val="2"/>
      <scheme val="minor"/>
    </font>
    <font>
      <b/>
      <sz val="12"/>
      <color theme="1"/>
      <name val="Aptos Narrow"/>
      <scheme val="minor"/>
    </font>
    <font>
      <sz val="10"/>
      <color rgb="FF000000"/>
      <name val="Tahoma"/>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center" vertical="center"/>
    </xf>
    <xf numFmtId="0" fontId="1" fillId="0" borderId="0" xfId="0" applyFont="1" applyAlignment="1">
      <alignment horizontal="center" vertical="center"/>
    </xf>
    <xf numFmtId="6" fontId="0" fillId="0" borderId="0" xfId="0" applyNumberFormat="1" applyAlignment="1">
      <alignment horizontal="center" vertical="center"/>
    </xf>
    <xf numFmtId="9" fontId="0" fillId="0" borderId="0" xfId="0" applyNumberFormat="1" applyAlignment="1">
      <alignment horizontal="center" vertical="center"/>
    </xf>
    <xf numFmtId="0" fontId="1" fillId="0" borderId="0" xfId="0" applyFont="1" applyAlignment="1">
      <alignment horizontal="center" vertical="center"/>
    </xf>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Scarlet Zhan" id="{B1F4C172-F02F-E245-993E-6889228ED97D}" userId="S::jz5731@nyu.edu::0eaa3f04-f5b0-408e-86ca-5ef7c387b53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H2" dT="2025-12-01T07:05:33.91" personId="{B1F4C172-F02F-E245-993E-6889228ED97D}" id="{450A4BDD-9118-4F47-B511-69338686E27C}">
    <text>For annual grosses, we assume each show operates 50–52 weeks per year; here we use 50 weeks as a conservative estimate: 1,039,500 × 50 ≈ $52M (rounded in the table to “~$54M” as the near–full–capacity upper bound).</text>
  </threadedComment>
  <threadedComment ref="B3" dT="2025-12-01T06:51:07.66" personId="{B1F4C172-F02F-E245-993E-6889228ED97D}" id="{F151BB66-DF97-9C43-BA79-647349DB1BF0}">
    <text>Audience discussions mention “over 400 people per show” and “near full capacity during peak season,” suggesting the official design capacity is somewhere between 300 and 400 people.
https://www.reddit.com/r/sleepnomore/comments/ywqoyo/crowd_size/</text>
    <extLst>
      <x:ext xmlns:xltc2="http://schemas.microsoft.com/office/spreadsheetml/2020/threadedcomments2" uri="{F7C98A9C-CBB3-438F-8F68-D28B6AF4A901}">
        <xltc2:checksum>2006175776</xltc2:checksum>
        <xltc2:hyperlink startIndex="182" length="64" url="https://www.reddit.com/r/sleepnomore/comments/ywqoyo/crowd_size/"/>
      </x:ext>
    </extLst>
  </threadedComment>
  <threadedComment ref="C3" dT="2025-12-01T06:57:53.64" personId="{B1F4C172-F02F-E245-993E-6889228ED97D}" id="{E61ABAC5-7AB2-3F4D-8094-C206E1CBF092}">
    <text>Media reports and ticketing information indicate that Sleep No More typically runs three entry waves each evening (around 7pm, 8pm, and 9pm), with each wave lasting about 2–3 hours, dark on Mondays and performing Tuesday through Sunday.
Therefore, we use 3 shows per night × 6 nights per week as the standard operating schedule in our model.
https://thecreativeadventurer.com/sleep-no-more-everything-you-need-to-know-about-visting-the-mckittrick-hotel/</text>
    <extLst>
      <x:ext xmlns:xltc2="http://schemas.microsoft.com/office/spreadsheetml/2020/threadedcomments2" uri="{F7C98A9C-CBB3-438F-8F68-D28B6AF4A901}">
        <xltc2:checksum>2029137163</xltc2:checksum>
        <xltc2:hyperlink startIndex="344" length="111" url="https://thecreativeadventurer.com/sleep-no-more-everything-you-need-to-know-about-visting-the-mckittrick-hotel/"/>
      </x:ext>
    </extLst>
  </threadedComment>
  <threadedComment ref="E3" dT="2025-12-01T06:59:13.61" personId="{B1F4C172-F02F-E245-993E-6889228ED97D}" id="{97EE97EB-E667-8F44-B93F-436321ABF2CE}">
    <text>Ticketing platforms and media reports note that regular performances are typically priced around $120–150, while weekend and peak-night tickets can exceed $200.
We therefore use the midpoint of the $120–210 range—about $165—as the average ticket price, which reflects a mix of weekday and weekend shows while avoiding overestimation.
https://www.todaytix.com/nyc/shows/2138-sleep-no-more</text>
    <extLst>
      <x:ext xmlns:xltc2="http://schemas.microsoft.com/office/spreadsheetml/2020/threadedcomments2" uri="{F7C98A9C-CBB3-438F-8F68-D28B6AF4A901}">
        <xltc2:checksum>1597058271</xltc2:checksum>
        <xltc2:hyperlink startIndex="336" length="53" url="https://www.todaytix.com/nyc/shows/2138-sleep-no-more"/>
      </x:ext>
    </extLst>
  </threadedComment>
  <threadedComment ref="B4" dT="2025-12-01T07:31:51.14" personId="{B1F4C172-F02F-E245-993E-6889228ED97D}" id="{87D369F5-7EF8-914D-8759-7BD011B1C87E}">
    <text>Life and Trust does not publish official capacity figures. Media coverage emphasizes the show’s scale instead: a 100,000‑square‑foot, six‑story former bank, 24–30 performers, 250 scenes and two full loops per night. Comparable NYC immersive shows of similar spatial scale (e.g., Sleep No More) typically host a few hundred guests per evening divided across multiple floors. For our revenue model, we therefore assume an audience range of roughly 120–200 guests per performance, and use a midpoint value in calculations while clearly marking all figures as estimates.​
https://thetheatretimes.com/a-faustian-bargain-itself-emursives-life-and-trust/</text>
    <extLst>
      <x:ext xmlns:xltc2="http://schemas.microsoft.com/office/spreadsheetml/2020/threadedcomments2" uri="{F7C98A9C-CBB3-438F-8F68-D28B6AF4A901}">
        <xltc2:checksum>2338069784</xltc2:checksum>
        <xltc2:hyperlink startIndex="568" length="79" url="https://thetheatretimes.com/a-faustian-bargain-itself-emursives-life-and-trust/"/>
      </x:ext>
    </extLst>
  </threadedComment>
  <threadedComment ref="C4" dT="2025-12-01T07:10:15.17" personId="{B1F4C172-F02F-E245-993E-6889228ED97D}" id="{F8400323-9941-2449-9CBA-29C1BCB1965B}">
    <text>Media coverage notes that the experience runs for about three hours, with two full loops each evening and 6–7 operating nights per week, while the ticketing page shows a fixed time slot starting at 6 p.m. every day.
https://immersiveexperiencenyc.com/life-and-trust/</text>
    <extLst>
      <x:ext xmlns:xltc2="http://schemas.microsoft.com/office/spreadsheetml/2020/threadedcomments2" uri="{F7C98A9C-CBB3-438F-8F68-D28B6AF4A901}">
        <xltc2:checksum>2090896428</xltc2:checksum>
        <xltc2:hyperlink startIndex="216" length="50" url="https://immersiveexperiencenyc.com/life-and-trust/"/>
      </x:ext>
    </extLst>
  </threadedComment>
  <threadedComment ref="E4" dT="2025-12-01T07:28:57.46" personId="{B1F4C172-F02F-E245-993E-6889228ED97D}" id="{8B0C2EEB-19AF-834C-8AE3-95DDDA1DA58E}">
    <text>Weekend tickets are described as “slightly above $200,” while weekday tickets are “slightly below $200,” including fees.
https://www.nytimes.com/2024/07/15/theater/life-and-trust-immersive-theater.html</text>
    <extLst>
      <x:ext xmlns:xltc2="http://schemas.microsoft.com/office/spreadsheetml/2020/threadedcomments2" uri="{F7C98A9C-CBB3-438F-8F68-D28B6AF4A901}">
        <xltc2:checksum>1237497076</xltc2:checksum>
        <xltc2:hyperlink startIndex="121" length="80" url="https://www.nytimes.com/2024/07/15/theater/life-and-trust-immersive-theater.html"/>
      </x:ext>
    </extLst>
  </threadedComment>
  <threadedComment ref="B5" dT="2025-12-01T07:15:21.07" personId="{B1F4C172-F02F-E245-993E-6889228ED97D}" id="{48C3E98F-D699-C949-AD1F-571646DA65CF}">
    <text>https://jessicanturner.com/2025/09/all-about-masquerade-nyc-the-immersive-phantom-of-the-opera-show.html</text>
    <extLst>
      <x:ext xmlns:xltc2="http://schemas.microsoft.com/office/spreadsheetml/2020/threadedcomments2" uri="{F7C98A9C-CBB3-438F-8F68-D28B6AF4A901}">
        <xltc2:checksum>4140265331</xltc2:checksum>
        <xltc2:hyperlink startIndex="0" length="104" url="https://jessicanturner.com/2025/09/all-about-masquerade-nyc-the-immersive-phantom-of-the-opera-show.html"/>
      </x:ext>
    </extLst>
  </threadedComment>
  <threadedComment ref="C5" dT="2025-12-01T07:27:12.88" personId="{B1F4C172-F02F-E245-993E-6889228ED97D}" id="{8A0A16CC-45E8-EB46-90F3-27169B30F791}">
    <text xml:space="preserve">From 7:00 to 8:30 p.m., a new group enters every 15 minutes, creating a 2‑hour cycle, with additional afternoon time slots on weekends.
https://newyorktheater.me/2025/10/14/masquerade-review/ </text>
    <extLst>
      <x:ext xmlns:xltc2="http://schemas.microsoft.com/office/spreadsheetml/2020/threadedcomments2" uri="{F7C98A9C-CBB3-438F-8F68-D28B6AF4A901}">
        <xltc2:checksum>2367530475</xltc2:checksum>
        <xltc2:hyperlink startIndex="137" length="55" url="https://newyorktheater.me/2025/10/14/masquerade-review/晚上"/>
      </x:ext>
    </extLst>
  </threadedComment>
  <threadedComment ref="E5" dT="2025-12-01T07:28:14.24" personId="{B1F4C172-F02F-E245-993E-6889228ED97D}" id="{DE5C6A82-1175-B841-BE98-8BB58596A5D2}">
    <text>Tickets range from $221 to $251 depending on the time slot, which places it in the very high end of immersive ticket pricing.
https://jessicanturner.com/2025/09/all-about-masquerade-nyc-the-immersive-phantom-of-the-opera-show.html</text>
    <extLst>
      <x:ext xmlns:xltc2="http://schemas.microsoft.com/office/spreadsheetml/2020/threadedcomments2" uri="{F7C98A9C-CBB3-438F-8F68-D28B6AF4A901}">
        <xltc2:checksum>3898370945</xltc2:checksum>
        <xltc2:hyperlink startIndex="126" length="104" url="https://jessicanturner.com/2025/09/all-about-masquerade-nyc-the-immersive-phantom-of-the-opera-show.html"/>
      </x:ext>
    </extLs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F036E-7A37-B543-BBC5-94965622A696}">
  <dimension ref="A1:H14"/>
  <sheetViews>
    <sheetView tabSelected="1" zoomScale="111" workbookViewId="0">
      <selection activeCell="F19" sqref="F19"/>
    </sheetView>
  </sheetViews>
  <sheetFormatPr baseColWidth="10" defaultRowHeight="16" x14ac:dyDescent="0.2"/>
  <cols>
    <col min="1" max="1" width="20.6640625" style="1" customWidth="1"/>
    <col min="2" max="2" width="19.33203125" style="1" customWidth="1"/>
    <col min="3" max="3" width="23.6640625" style="1" customWidth="1"/>
    <col min="4" max="4" width="17.33203125" style="1" customWidth="1"/>
    <col min="5" max="5" width="25.6640625" style="1" customWidth="1"/>
    <col min="6" max="6" width="17.83203125" style="1" customWidth="1"/>
    <col min="7" max="7" width="21.33203125" style="1" customWidth="1"/>
    <col min="8" max="8" width="24.5" style="1" customWidth="1"/>
    <col min="9" max="16384" width="10.83203125" style="1"/>
  </cols>
  <sheetData>
    <row r="1" spans="1:8" s="2" customFormat="1" x14ac:dyDescent="0.2">
      <c r="A1" s="5" t="s">
        <v>13</v>
      </c>
      <c r="B1" s="5"/>
      <c r="C1" s="5"/>
      <c r="D1" s="5"/>
      <c r="E1" s="5"/>
      <c r="F1" s="5"/>
      <c r="G1" s="5"/>
      <c r="H1" s="5"/>
    </row>
    <row r="2" spans="1:8" x14ac:dyDescent="0.2">
      <c r="A2" s="2" t="s">
        <v>0</v>
      </c>
      <c r="B2" s="2" t="s">
        <v>1</v>
      </c>
      <c r="C2" s="2" t="s">
        <v>2</v>
      </c>
      <c r="D2" s="2" t="s">
        <v>3</v>
      </c>
      <c r="E2" s="2" t="s">
        <v>4</v>
      </c>
      <c r="F2" s="2" t="s">
        <v>5</v>
      </c>
      <c r="G2" s="2" t="s">
        <v>6</v>
      </c>
      <c r="H2" s="2" t="s">
        <v>7</v>
      </c>
    </row>
    <row r="3" spans="1:8" x14ac:dyDescent="0.2">
      <c r="A3" s="1" t="s">
        <v>8</v>
      </c>
      <c r="B3" s="1">
        <v>350</v>
      </c>
      <c r="C3" s="1">
        <v>3</v>
      </c>
      <c r="D3" s="1">
        <v>6</v>
      </c>
      <c r="E3" s="1">
        <v>165</v>
      </c>
      <c r="F3" s="1">
        <f>B3*C3*D3</f>
        <v>6300</v>
      </c>
      <c r="G3" s="3">
        <v>1039500</v>
      </c>
      <c r="H3" s="3">
        <f>G3*50</f>
        <v>51975000</v>
      </c>
    </row>
    <row r="4" spans="1:8" x14ac:dyDescent="0.2">
      <c r="A4" s="1" t="s">
        <v>9</v>
      </c>
      <c r="B4" s="1">
        <v>180</v>
      </c>
      <c r="C4" s="1">
        <v>2</v>
      </c>
      <c r="D4" s="1">
        <v>6</v>
      </c>
      <c r="E4" s="1">
        <v>205</v>
      </c>
      <c r="F4" s="1">
        <f t="shared" ref="F4" si="0">B4*C4*D4</f>
        <v>2160</v>
      </c>
      <c r="G4" s="3">
        <v>442800</v>
      </c>
      <c r="H4" s="3">
        <f>G4*50</f>
        <v>22140000</v>
      </c>
    </row>
    <row r="5" spans="1:8" x14ac:dyDescent="0.2">
      <c r="A5" s="1" t="s">
        <v>10</v>
      </c>
      <c r="B5" s="1">
        <v>55</v>
      </c>
      <c r="C5" s="1">
        <v>8</v>
      </c>
      <c r="D5" s="1">
        <v>6</v>
      </c>
      <c r="E5" s="1">
        <v>235</v>
      </c>
      <c r="F5" s="1">
        <f>B5*C5*D5</f>
        <v>2640</v>
      </c>
      <c r="G5" s="3">
        <v>621600</v>
      </c>
      <c r="H5" s="3">
        <f>G5*50</f>
        <v>31080000</v>
      </c>
    </row>
    <row r="7" spans="1:8" x14ac:dyDescent="0.2">
      <c r="A7" s="5" t="s">
        <v>14</v>
      </c>
      <c r="B7" s="6"/>
      <c r="C7" s="6"/>
      <c r="D7" s="6"/>
      <c r="E7" s="6"/>
    </row>
    <row r="8" spans="1:8" s="2" customFormat="1" x14ac:dyDescent="0.2">
      <c r="A8" s="2" t="s">
        <v>0</v>
      </c>
      <c r="B8" s="2" t="s">
        <v>11</v>
      </c>
      <c r="C8" s="2" t="s">
        <v>5</v>
      </c>
      <c r="D8" s="2" t="s">
        <v>6</v>
      </c>
      <c r="E8" s="2" t="s">
        <v>7</v>
      </c>
    </row>
    <row r="9" spans="1:8" x14ac:dyDescent="0.2">
      <c r="A9" s="1" t="s">
        <v>12</v>
      </c>
      <c r="B9" s="4">
        <v>0.8</v>
      </c>
      <c r="C9" s="1">
        <v>5040</v>
      </c>
      <c r="D9" s="3">
        <v>831600</v>
      </c>
      <c r="E9" s="3">
        <f>D9*50</f>
        <v>41580000</v>
      </c>
    </row>
    <row r="10" spans="1:8" x14ac:dyDescent="0.2">
      <c r="A10" s="1" t="s">
        <v>12</v>
      </c>
      <c r="B10" s="4">
        <v>0.9</v>
      </c>
      <c r="C10" s="1">
        <v>5670</v>
      </c>
      <c r="D10" s="3">
        <v>935550</v>
      </c>
      <c r="E10" s="3">
        <f t="shared" ref="E10:E14" si="1">D10*50</f>
        <v>46777500</v>
      </c>
    </row>
    <row r="11" spans="1:8" x14ac:dyDescent="0.2">
      <c r="A11" s="1" t="s">
        <v>9</v>
      </c>
      <c r="B11" s="4">
        <v>0.8</v>
      </c>
      <c r="C11" s="1">
        <v>1728</v>
      </c>
      <c r="D11" s="3">
        <v>354240</v>
      </c>
      <c r="E11" s="3">
        <f t="shared" si="1"/>
        <v>17712000</v>
      </c>
    </row>
    <row r="12" spans="1:8" x14ac:dyDescent="0.2">
      <c r="A12" s="1" t="s">
        <v>9</v>
      </c>
      <c r="B12" s="4">
        <v>0.9</v>
      </c>
      <c r="C12" s="1">
        <v>1944</v>
      </c>
      <c r="D12" s="3">
        <v>398520</v>
      </c>
      <c r="E12" s="3">
        <f>D12*50</f>
        <v>19926000</v>
      </c>
    </row>
    <row r="13" spans="1:8" x14ac:dyDescent="0.2">
      <c r="A13" s="1" t="s">
        <v>10</v>
      </c>
      <c r="B13" s="4">
        <v>0.8</v>
      </c>
      <c r="C13" s="1">
        <v>2112</v>
      </c>
      <c r="D13" s="3">
        <v>496320</v>
      </c>
      <c r="E13" s="3">
        <f t="shared" si="1"/>
        <v>24816000</v>
      </c>
    </row>
    <row r="14" spans="1:8" x14ac:dyDescent="0.2">
      <c r="A14" s="1" t="s">
        <v>10</v>
      </c>
      <c r="B14" s="4">
        <v>0.9</v>
      </c>
      <c r="C14" s="1">
        <v>2376</v>
      </c>
      <c r="D14" s="3">
        <v>558360</v>
      </c>
      <c r="E14" s="3">
        <f t="shared" si="1"/>
        <v>27918000</v>
      </c>
    </row>
  </sheetData>
  <mergeCells count="2">
    <mergeCell ref="A1:H1"/>
    <mergeCell ref="A7:E7"/>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Scarlet Zhan</dc:creator>
  <cp:lastModifiedBy>Scarlet Zhan</cp:lastModifiedBy>
  <dcterms:created xsi:type="dcterms:W3CDTF">2025-12-01T06:35:33Z</dcterms:created>
  <dcterms:modified xsi:type="dcterms:W3CDTF">2025-12-01T07:38:27Z</dcterms:modified>
</cp:coreProperties>
</file>